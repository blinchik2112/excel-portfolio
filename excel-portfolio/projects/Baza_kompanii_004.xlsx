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beafb9aa2b3a91d/Документы/Ex/"/>
    </mc:Choice>
  </mc:AlternateContent>
  <xr:revisionPtr revIDLastSave="16" documentId="8_{879FB56D-8686-4423-8055-BBE75D05193D}" xr6:coauthVersionLast="47" xr6:coauthVersionMax="47" xr10:uidLastSave="{42F54742-8262-46BD-81B6-B9145D3C8863}"/>
  <bookViews>
    <workbookView xWindow="-103" yWindow="-103" windowWidth="22149" windowHeight="13200" activeTab="1" xr2:uid="{00000000-000D-0000-FFFF-FFFF00000000}"/>
  </bookViews>
  <sheets>
    <sheet name="Вхідні_дані" sheetId="1" r:id="rId1"/>
    <sheet name="Результат" sheetId="2" r:id="rId2"/>
    <sheet name="Завдання" sheetId="3" r:id="rId3"/>
  </sheets>
  <definedNames>
    <definedName name="_xlnm._FilterDatabase" localSheetId="1" hidden="1">Результат!$A$4:$F$15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30" i="2"/>
  <c r="B29" i="2"/>
  <c r="B28" i="2"/>
</calcChain>
</file>

<file path=xl/sharedStrings.xml><?xml version="1.0" encoding="utf-8"?>
<sst xmlns="http://schemas.openxmlformats.org/spreadsheetml/2006/main" count="112" uniqueCount="93">
  <si>
    <t>ВИХІДНІ ЗАПИСИ ВІД ЗАМОВНИКА — НЕ РЕДАГУВАТИ</t>
  </si>
  <si>
    <t>№ запису</t>
  </si>
  <si>
    <t>Текст замовника</t>
  </si>
  <si>
    <t>ТОВ «Сонячний Сад»; місто Харків; торгівля; телефон +380 (00) 000-00-01; sad@example.com</t>
  </si>
  <si>
    <t>Київ | ПП «Майстер Лайн» | послуги | line@example.com | тел. +380 (00) 000-00-02</t>
  </si>
  <si>
    <t>Назва: ТОВ «Дніпро Пак», Дніпро, виробництво, +380 (00) 000-00-03, pak@example.com</t>
  </si>
  <si>
    <t>ФОП «Кава і Дім» / Львів / торгівля / +380 (00) 000-00-04 / kava@example.com</t>
  </si>
  <si>
    <t>Полтава; послуги; ТОВ «РемБуд Сервіс»; телефон: не вказано; rembud@example.com</t>
  </si>
  <si>
    <t>ПП «Техно Форма» — Харків — виробництво — +380 (00) 000-00-06 — tech@example.com</t>
  </si>
  <si>
    <t>ТОВ «Зелена Полиця» | торгівля | Київ | тел. +380 (00) 000-00-07 | email: не вказано</t>
  </si>
  <si>
    <t>Дніпро; ФОП «Чисто Плюс»; +380 (00) 000-00-08; chysto@example.com; послуги</t>
  </si>
  <si>
    <t>ТОВ «Метал Профіль», Львів, виробництво, metal@example.com, +380 (00) 000-00-09</t>
  </si>
  <si>
    <t>ПП «Світ Канцелярії» / Полтава / торгівля / office@example.com / +380 (00) 000-00-10</t>
  </si>
  <si>
    <t>Послуги | Харків | ТОВ «Альфа Логістик» | +380 (00) 000-00-11 | alfa@example.com</t>
  </si>
  <si>
    <t>ФОП «Дерево Стиль»; Київ; виробництво; +380 (00) 000-00-12; wood@example.com</t>
  </si>
  <si>
    <t>Дніпро | pak@example.com | ТОВ «Дніпро Пак» | виробництво | +380 (00) 000-00-03</t>
  </si>
  <si>
    <t>БАЗА КОМПАНІЙ — ЗАПОВНЮЄ ВИКОНАВЕЦЬ</t>
  </si>
  <si>
    <t>№</t>
  </si>
  <si>
    <t>Назва компанії</t>
  </si>
  <si>
    <t>Місто</t>
  </si>
  <si>
    <t>Сфера діяльності</t>
  </si>
  <si>
    <t>Телефон</t>
  </si>
  <si>
    <t>Email</t>
  </si>
  <si>
    <t>Підсумки</t>
  </si>
  <si>
    <t>Кількість</t>
  </si>
  <si>
    <t>Усього компаній</t>
  </si>
  <si>
    <t>Торгівля</t>
  </si>
  <si>
    <t>Послуги</t>
  </si>
  <si>
    <t>Виробництво</t>
  </si>
  <si>
    <t>ТЕСТОВЕ ЗАМОВЛЕННЯ №004 — База компаній</t>
  </si>
  <si>
    <t>Ситуація</t>
  </si>
  <si>
    <t>Клієнт передав 13 текстових записів про компанії. Потрібно оформити акуратну Excel-базу.</t>
  </si>
  <si>
    <t>Час</t>
  </si>
  <si>
    <t>45–60 хвилин</t>
  </si>
  <si>
    <t>Що робити</t>
  </si>
  <si>
    <t>На аркуші «Результат» внеси дані з аркуша «Вхідні_дані».</t>
  </si>
  <si>
    <t>Правило 1</t>
  </si>
  <si>
    <t>Кожна компанія — один рядок; стовпці заповнюй відповідно до заголовків.</t>
  </si>
  <si>
    <t>Правило 2</t>
  </si>
  <si>
    <t>Один запис повторюється. У фінальній таблиці дубліката бути не повинно.</t>
  </si>
  <si>
    <t>Правило 3</t>
  </si>
  <si>
    <t>Якщо телефон або email відсутні, залиш відповідну клітинку порожньою.</t>
  </si>
  <si>
    <t>Правило 4</t>
  </si>
  <si>
    <t>Не змінюй назви компаній, міста, сфери діяльності та контактні дані.</t>
  </si>
  <si>
    <t>Правило 5</t>
  </si>
  <si>
    <t>Відсортуй компанії за назвою (А–Я), оформи заголовки й увімкни фільтр.</t>
  </si>
  <si>
    <t>Правило 6</t>
  </si>
  <si>
    <t>Під таблицею вкажи загальну кількість компаній та кількість за кожною сферою.</t>
  </si>
  <si>
    <t>Бонус</t>
  </si>
  <si>
    <t>Спробуй використати COUNTIF для підрахунку компаній за сферами.</t>
  </si>
  <si>
    <t>Здача</t>
  </si>
  <si>
    <t>Збережи файл як Excel_Замовлення_004_Прізвище.xlsx і надішли на перевірку.</t>
  </si>
  <si>
    <t>Примітка</t>
  </si>
  <si>
    <t>Усі компанії та контакти вигадані для навчального тесту.</t>
  </si>
  <si>
    <t>ТОВ «Сонячний Сад»</t>
  </si>
  <si>
    <t>Харків</t>
  </si>
  <si>
    <t>ТОВ «Альфа Логістик»</t>
  </si>
  <si>
    <t xml:space="preserve"> +380 (00) 000-00-11</t>
  </si>
  <si>
    <t>alfa@example.com</t>
  </si>
  <si>
    <t>ФОП «Дерево Стиль»</t>
  </si>
  <si>
    <t>Київ</t>
  </si>
  <si>
    <t>+380 (00) 000-00-12</t>
  </si>
  <si>
    <t>wood@example.com</t>
  </si>
  <si>
    <t>ТОВ «Дніпро Пак»</t>
  </si>
  <si>
    <t>Дніпро</t>
  </si>
  <si>
    <t>+380 (00) 000-00-03</t>
  </si>
  <si>
    <t>pak@example.com</t>
  </si>
  <si>
    <t xml:space="preserve">ТОВ «Зелена Полиця» </t>
  </si>
  <si>
    <t>+380 (00) 000-00-07</t>
  </si>
  <si>
    <t xml:space="preserve">ФОП «Кава і Дім» </t>
  </si>
  <si>
    <t>Львів</t>
  </si>
  <si>
    <t>+380 (00) 000-00-04</t>
  </si>
  <si>
    <t xml:space="preserve"> kava@example.com</t>
  </si>
  <si>
    <t xml:space="preserve">ПП «Майстер Лайн» </t>
  </si>
  <si>
    <t xml:space="preserve"> line@example.com </t>
  </si>
  <si>
    <t xml:space="preserve"> +380 (00) 000-00-02</t>
  </si>
  <si>
    <t>ТОВ «Метал Профіль»</t>
  </si>
  <si>
    <t>metal@example.com</t>
  </si>
  <si>
    <t>+380 (00) 000-00-09</t>
  </si>
  <si>
    <t xml:space="preserve"> ТОВ «РемБуд Сервіс»</t>
  </si>
  <si>
    <t>Полтава</t>
  </si>
  <si>
    <t>rembud@example.com</t>
  </si>
  <si>
    <t>ПП «Світ Канцелярії»</t>
  </si>
  <si>
    <t>office@example.com</t>
  </si>
  <si>
    <t>+380 (00) 000-00-10</t>
  </si>
  <si>
    <t xml:space="preserve"> +380 (00) 000-00-01</t>
  </si>
  <si>
    <t>sad@example.com</t>
  </si>
  <si>
    <t xml:space="preserve">ПП «Техно Форма» </t>
  </si>
  <si>
    <t>+380 (00) 000-00-06</t>
  </si>
  <si>
    <t>tech@example.com</t>
  </si>
  <si>
    <t>ФОП «Чисто Плюс»</t>
  </si>
  <si>
    <t xml:space="preserve"> +380 (00) 000-00-08</t>
  </si>
  <si>
    <t>chysto@example.com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</si>
</sst>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color rgb="FF143A59"/>
      <name val="Carlito"/>
    </font>
    <font>
      <sz val="11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43A59"/>
      </patternFill>
    </fill>
    <fill>
      <patternFill patternType="solid">
        <fgColor rgb="FFE8F1F7"/>
      </patternFill>
    </fill>
    <fill>
      <patternFill patternType="solid">
        <fgColor rgb="FF28739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0" xfId="1" applyFont="1" applyFill="1"/>
    <xf numFmtId="0" fontId="0" fillId="0" borderId="0" xfId="1" applyFont="1" applyAlignment="1">
      <alignment wrapText="1"/>
    </xf>
    <xf numFmtId="0" fontId="1" fillId="4" borderId="0" xfId="1" applyFont="1" applyFill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0" fillId="5" borderId="0" xfId="1" applyFont="1" applyFill="1" applyAlignment="1">
      <alignment wrapText="1"/>
    </xf>
    <xf numFmtId="0" fontId="1" fillId="2" borderId="0" xfId="1" applyFont="1" applyFill="1"/>
    <xf numFmtId="0" fontId="1" fillId="2" borderId="0" xfId="1" applyFont="1" applyFill="1" applyAlignment="1">
      <alignment vertical="center"/>
    </xf>
  </cellXfs>
  <cellStyles count="3">
    <cellStyle name="Normal" xfId="1" xr:uid="{00000000-0005-0000-0000-000000000000}"/>
    <cellStyle name="Гіперпосилання" xfId="2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ad@example.com" TargetMode="External"/><Relationship Id="rId1" Type="http://schemas.openxmlformats.org/officeDocument/2006/relationships/hyperlink" Target="mailto:offic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pane ySplit="2" topLeftCell="A3" activePane="bottomLeft" state="frozen"/>
      <selection pane="bottomLeft" activeCell="D7" sqref="D7"/>
    </sheetView>
  </sheetViews>
  <sheetFormatPr defaultRowHeight="14.15"/>
  <cols>
    <col min="1" max="1" width="14" customWidth="1"/>
    <col min="2" max="2" width="105" customWidth="1"/>
  </cols>
  <sheetData>
    <row r="1" spans="1:2" ht="32.049999999999997" customHeight="1">
      <c r="A1" s="9" t="s">
        <v>0</v>
      </c>
      <c r="B1" s="9"/>
    </row>
    <row r="2" spans="1:2" ht="24" customHeight="1">
      <c r="A2" s="3" t="s">
        <v>1</v>
      </c>
      <c r="B2" s="3" t="s">
        <v>2</v>
      </c>
    </row>
    <row r="3" spans="1:2" ht="27" customHeight="1">
      <c r="A3">
        <v>1</v>
      </c>
      <c r="B3" s="8" t="s">
        <v>3</v>
      </c>
    </row>
    <row r="4" spans="1:2" ht="27" customHeight="1">
      <c r="A4">
        <v>2</v>
      </c>
      <c r="B4" s="8" t="s">
        <v>4</v>
      </c>
    </row>
    <row r="5" spans="1:2" ht="27" customHeight="1">
      <c r="A5">
        <v>3</v>
      </c>
      <c r="B5" s="8" t="s">
        <v>5</v>
      </c>
    </row>
    <row r="6" spans="1:2" ht="27" customHeight="1">
      <c r="A6">
        <v>4</v>
      </c>
      <c r="B6" s="8" t="s">
        <v>6</v>
      </c>
    </row>
    <row r="7" spans="1:2" ht="27" customHeight="1">
      <c r="A7">
        <v>5</v>
      </c>
      <c r="B7" s="8" t="s">
        <v>7</v>
      </c>
    </row>
    <row r="8" spans="1:2" ht="27" customHeight="1">
      <c r="A8">
        <v>6</v>
      </c>
      <c r="B8" s="8" t="s">
        <v>8</v>
      </c>
    </row>
    <row r="9" spans="1:2" ht="27" customHeight="1">
      <c r="A9">
        <v>7</v>
      </c>
      <c r="B9" s="8" t="s">
        <v>9</v>
      </c>
    </row>
    <row r="10" spans="1:2" ht="27" customHeight="1">
      <c r="A10">
        <v>8</v>
      </c>
      <c r="B10" s="8" t="s">
        <v>10</v>
      </c>
    </row>
    <row r="11" spans="1:2" ht="27" customHeight="1">
      <c r="A11">
        <v>9</v>
      </c>
      <c r="B11" s="8" t="s">
        <v>11</v>
      </c>
    </row>
    <row r="12" spans="1:2" ht="27" customHeight="1">
      <c r="A12">
        <v>10</v>
      </c>
      <c r="B12" s="8" t="s">
        <v>12</v>
      </c>
    </row>
    <row r="13" spans="1:2" ht="27" customHeight="1">
      <c r="A13">
        <v>11</v>
      </c>
      <c r="B13" s="8" t="s">
        <v>13</v>
      </c>
    </row>
    <row r="14" spans="1:2" ht="27" customHeight="1">
      <c r="A14">
        <v>12</v>
      </c>
      <c r="B14" s="8" t="s">
        <v>14</v>
      </c>
    </row>
    <row r="15" spans="1:2" ht="27" customHeight="1">
      <c r="A15">
        <v>13</v>
      </c>
      <c r="B15" s="8" t="s">
        <v>15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abSelected="1" workbookViewId="0">
      <pane ySplit="3" topLeftCell="A4" activePane="bottomLeft" state="frozen"/>
      <selection pane="bottomLeft" activeCell="G9" sqref="G9"/>
    </sheetView>
  </sheetViews>
  <sheetFormatPr defaultRowHeight="14.15"/>
  <cols>
    <col min="1" max="1" width="22" customWidth="1"/>
    <col min="2" max="2" width="29" customWidth="1"/>
    <col min="3" max="3" width="18" customWidth="1"/>
    <col min="4" max="4" width="23" customWidth="1"/>
    <col min="5" max="5" width="26" customWidth="1"/>
    <col min="6" max="6" width="32" customWidth="1"/>
  </cols>
  <sheetData>
    <row r="1" spans="1:6" ht="34" customHeight="1">
      <c r="A1" s="9" t="s">
        <v>16</v>
      </c>
      <c r="B1" s="9"/>
      <c r="C1" s="9"/>
      <c r="D1" s="9"/>
      <c r="E1" s="9"/>
      <c r="F1" s="9"/>
    </row>
    <row r="3" spans="1:6" ht="26.05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</row>
    <row r="4" spans="1:6" ht="23.05" customHeight="1">
      <c r="A4" s="6">
        <v>1</v>
      </c>
      <c r="B4" s="6" t="s">
        <v>56</v>
      </c>
      <c r="C4" s="6" t="s">
        <v>55</v>
      </c>
      <c r="D4" s="6" t="s">
        <v>27</v>
      </c>
      <c r="E4" s="6" t="s">
        <v>57</v>
      </c>
      <c r="F4" s="6" t="s">
        <v>58</v>
      </c>
    </row>
    <row r="5" spans="1:6" ht="23.05" customHeight="1">
      <c r="A5" s="6">
        <v>2</v>
      </c>
      <c r="B5" s="6" t="s">
        <v>59</v>
      </c>
      <c r="C5" s="6" t="s">
        <v>60</v>
      </c>
      <c r="D5" s="6" t="s">
        <v>28</v>
      </c>
      <c r="E5" s="6" t="s">
        <v>61</v>
      </c>
      <c r="F5" s="6" t="s">
        <v>62</v>
      </c>
    </row>
    <row r="6" spans="1:6" ht="23.05" customHeight="1">
      <c r="A6" s="6">
        <v>3</v>
      </c>
      <c r="B6" s="6" t="s">
        <v>63</v>
      </c>
      <c r="C6" s="6" t="s">
        <v>64</v>
      </c>
      <c r="D6" s="6" t="s">
        <v>28</v>
      </c>
      <c r="E6" s="6" t="s">
        <v>65</v>
      </c>
      <c r="F6" s="6" t="s">
        <v>66</v>
      </c>
    </row>
    <row r="7" spans="1:6" ht="23.05" customHeight="1">
      <c r="A7" s="6">
        <v>4</v>
      </c>
      <c r="B7" s="6" t="s">
        <v>67</v>
      </c>
      <c r="C7" s="6" t="s">
        <v>60</v>
      </c>
      <c r="D7" s="6" t="s">
        <v>26</v>
      </c>
      <c r="E7" s="6" t="s">
        <v>68</v>
      </c>
      <c r="F7" s="6"/>
    </row>
    <row r="8" spans="1:6" ht="23.05" customHeight="1">
      <c r="A8" s="6">
        <v>5</v>
      </c>
      <c r="B8" s="6" t="s">
        <v>69</v>
      </c>
      <c r="C8" s="6" t="s">
        <v>70</v>
      </c>
      <c r="D8" s="6" t="s">
        <v>26</v>
      </c>
      <c r="E8" s="6" t="s">
        <v>71</v>
      </c>
      <c r="F8" s="6" t="s">
        <v>72</v>
      </c>
    </row>
    <row r="9" spans="1:6" ht="23.05" customHeight="1">
      <c r="A9" s="6">
        <v>6</v>
      </c>
      <c r="B9" s="6" t="s">
        <v>73</v>
      </c>
      <c r="C9" s="6" t="s">
        <v>60</v>
      </c>
      <c r="D9" s="6" t="s">
        <v>27</v>
      </c>
      <c r="E9" s="6" t="s">
        <v>75</v>
      </c>
      <c r="F9" s="6" t="s">
        <v>74</v>
      </c>
    </row>
    <row r="10" spans="1:6" ht="23.05" customHeight="1">
      <c r="A10" s="6">
        <v>7</v>
      </c>
      <c r="B10" s="6" t="s">
        <v>76</v>
      </c>
      <c r="C10" s="6" t="s">
        <v>70</v>
      </c>
      <c r="D10" s="6" t="s">
        <v>28</v>
      </c>
      <c r="E10" s="6" t="s">
        <v>78</v>
      </c>
      <c r="F10" s="6" t="s">
        <v>77</v>
      </c>
    </row>
    <row r="11" spans="1:6" ht="23.05" customHeight="1">
      <c r="A11" s="6">
        <v>8</v>
      </c>
      <c r="B11" s="6" t="s">
        <v>79</v>
      </c>
      <c r="C11" s="6" t="s">
        <v>80</v>
      </c>
      <c r="D11" s="6" t="s">
        <v>27</v>
      </c>
      <c r="E11" s="6"/>
      <c r="F11" s="6" t="s">
        <v>81</v>
      </c>
    </row>
    <row r="12" spans="1:6" ht="23.05" customHeight="1">
      <c r="A12" s="6">
        <v>9</v>
      </c>
      <c r="B12" s="6" t="s">
        <v>82</v>
      </c>
      <c r="C12" s="6" t="s">
        <v>80</v>
      </c>
      <c r="D12" s="6" t="s">
        <v>26</v>
      </c>
      <c r="E12" s="6" t="s">
        <v>84</v>
      </c>
      <c r="F12" s="7" t="s">
        <v>83</v>
      </c>
    </row>
    <row r="13" spans="1:6" ht="23.05" customHeight="1">
      <c r="A13" s="6">
        <v>10</v>
      </c>
      <c r="B13" s="6" t="s">
        <v>54</v>
      </c>
      <c r="C13" s="6" t="s">
        <v>55</v>
      </c>
      <c r="D13" s="6" t="s">
        <v>26</v>
      </c>
      <c r="E13" s="6" t="s">
        <v>85</v>
      </c>
      <c r="F13" s="7" t="s">
        <v>86</v>
      </c>
    </row>
    <row r="14" spans="1:6" ht="23.05" customHeight="1">
      <c r="A14" s="6">
        <v>11</v>
      </c>
      <c r="B14" s="6" t="s">
        <v>87</v>
      </c>
      <c r="C14" s="6" t="s">
        <v>55</v>
      </c>
      <c r="D14" s="6" t="s">
        <v>28</v>
      </c>
      <c r="E14" s="6" t="s">
        <v>88</v>
      </c>
      <c r="F14" s="6" t="s">
        <v>89</v>
      </c>
    </row>
    <row r="15" spans="1:6" ht="23.05" customHeight="1">
      <c r="A15" s="6">
        <v>12</v>
      </c>
      <c r="B15" s="6" t="s">
        <v>90</v>
      </c>
      <c r="C15" s="6" t="s">
        <v>64</v>
      </c>
      <c r="D15" s="6" t="s">
        <v>27</v>
      </c>
      <c r="E15" s="6" t="s">
        <v>91</v>
      </c>
      <c r="F15" s="6" t="s">
        <v>92</v>
      </c>
    </row>
    <row r="16" spans="1:6" ht="23.05" customHeight="1"/>
    <row r="17" spans="1:2" ht="23.05" customHeight="1">
      <c r="A17" s="4"/>
    </row>
    <row r="18" spans="1:2" ht="23.05" customHeight="1"/>
    <row r="19" spans="1:2" ht="23.05" customHeight="1"/>
    <row r="20" spans="1:2" ht="23.05" customHeight="1"/>
    <row r="21" spans="1:2" ht="23.05" customHeight="1"/>
    <row r="22" spans="1:2" ht="23.05" customHeight="1"/>
    <row r="23" spans="1:2" ht="23.05" customHeight="1"/>
    <row r="26" spans="1:2">
      <c r="A26" s="3" t="s">
        <v>23</v>
      </c>
      <c r="B26" s="3" t="s">
        <v>24</v>
      </c>
    </row>
    <row r="27" spans="1:2">
      <c r="A27" s="5" t="s">
        <v>25</v>
      </c>
      <c r="B27" s="5">
        <f>COUNTA(B4:B15)</f>
        <v>12</v>
      </c>
    </row>
    <row r="28" spans="1:2">
      <c r="A28" s="5" t="s">
        <v>26</v>
      </c>
      <c r="B28" s="5">
        <f>COUNTIF(D4:D15,"Торгівля")</f>
        <v>4</v>
      </c>
    </row>
    <row r="29" spans="1:2">
      <c r="A29" s="5" t="s">
        <v>27</v>
      </c>
      <c r="B29" s="5">
        <f>COUNTIF(D4:D15,"Послуги")</f>
        <v>4</v>
      </c>
    </row>
    <row r="30" spans="1:2">
      <c r="A30" s="5" t="s">
        <v>28</v>
      </c>
      <c r="B30" s="5">
        <f>COUNTIF(D4:D15,"Виробництво")</f>
        <v>4</v>
      </c>
    </row>
  </sheetData>
  <autoFilter ref="A4:F15" xr:uid="{00000000-0001-0000-0100-000000000000}"/>
  <mergeCells count="1">
    <mergeCell ref="A1:F1"/>
  </mergeCells>
  <hyperlinks>
    <hyperlink ref="F12" r:id="rId1" xr:uid="{8106F1CF-3A62-4BF4-B129-1223901B8333}"/>
    <hyperlink ref="F13" r:id="rId2" xr:uid="{86E3EB84-0D64-4873-87AD-B26E77513F7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15" sqref="B15"/>
    </sheetView>
  </sheetViews>
  <sheetFormatPr defaultRowHeight="14.15"/>
  <cols>
    <col min="1" max="1" width="20" customWidth="1"/>
    <col min="2" max="2" width="95" customWidth="1"/>
  </cols>
  <sheetData>
    <row r="1" spans="1:2" ht="19.399999999999999" customHeight="1">
      <c r="A1" s="10" t="s">
        <v>29</v>
      </c>
      <c r="B1" s="10"/>
    </row>
    <row r="2" spans="1:2" ht="18.350000000000001" customHeight="1">
      <c r="A2" s="1" t="s">
        <v>30</v>
      </c>
      <c r="B2" s="2" t="s">
        <v>31</v>
      </c>
    </row>
    <row r="3" spans="1:2" ht="18.350000000000001" customHeight="1">
      <c r="A3" s="1" t="s">
        <v>32</v>
      </c>
      <c r="B3" s="2" t="s">
        <v>33</v>
      </c>
    </row>
    <row r="4" spans="1:2" ht="18.350000000000001" customHeight="1">
      <c r="A4" s="1" t="s">
        <v>34</v>
      </c>
      <c r="B4" s="2" t="s">
        <v>35</v>
      </c>
    </row>
    <row r="5" spans="1:2" ht="18.350000000000001" customHeight="1">
      <c r="A5" s="1" t="s">
        <v>36</v>
      </c>
      <c r="B5" s="2" t="s">
        <v>37</v>
      </c>
    </row>
    <row r="6" spans="1:2" ht="18.350000000000001" customHeight="1">
      <c r="A6" s="1" t="s">
        <v>38</v>
      </c>
      <c r="B6" s="2" t="s">
        <v>39</v>
      </c>
    </row>
    <row r="7" spans="1:2" ht="18.350000000000001" customHeight="1">
      <c r="A7" s="1" t="s">
        <v>40</v>
      </c>
      <c r="B7" s="2" t="s">
        <v>41</v>
      </c>
    </row>
    <row r="8" spans="1:2" ht="18.350000000000001" customHeight="1">
      <c r="A8" s="1" t="s">
        <v>42</v>
      </c>
      <c r="B8" s="2" t="s">
        <v>43</v>
      </c>
    </row>
    <row r="9" spans="1:2" ht="18.350000000000001" customHeight="1">
      <c r="A9" s="1" t="s">
        <v>44</v>
      </c>
      <c r="B9" s="2" t="s">
        <v>45</v>
      </c>
    </row>
    <row r="10" spans="1:2" ht="18.350000000000001" customHeight="1">
      <c r="A10" s="1" t="s">
        <v>46</v>
      </c>
      <c r="B10" s="2" t="s">
        <v>47</v>
      </c>
    </row>
    <row r="11" spans="1:2" ht="18.350000000000001" customHeight="1">
      <c r="A11" s="1" t="s">
        <v>48</v>
      </c>
      <c r="B11" s="2" t="s">
        <v>49</v>
      </c>
    </row>
    <row r="12" spans="1:2" ht="18.350000000000001" customHeight="1">
      <c r="A12" s="1" t="s">
        <v>50</v>
      </c>
      <c r="B12" s="2" t="s">
        <v>51</v>
      </c>
    </row>
    <row r="13" spans="1:2" ht="18.350000000000001" customHeight="1">
      <c r="A13" s="1" t="s">
        <v>52</v>
      </c>
      <c r="B13" s="2" t="s">
        <v>53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Вхідні_дані</vt:lpstr>
      <vt:lpstr>Результат</vt:lpstr>
      <vt:lpstr>Завдання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Андрій Орловський</cp:lastModifiedBy>
  <dcterms:created xsi:type="dcterms:W3CDTF">2026-10-11T12:45:33Z</dcterms:created>
  <dcterms:modified xsi:type="dcterms:W3CDTF">2026-10-11T12:58:30Z</dcterms:modified>
</cp:coreProperties>
</file>