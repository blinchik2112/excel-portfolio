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eafb9aa2b3a91d/Документы/Ex/"/>
    </mc:Choice>
  </mc:AlternateContent>
  <xr:revisionPtr revIDLastSave="216" documentId="8_{3DDDA2D3-8F94-4A0B-B898-EE7AB7D8DD85}" xr6:coauthVersionLast="47" xr6:coauthVersionMax="47" xr10:uidLastSave="{FB7F5020-E7EC-4C56-A048-194D0FCB4FA5}"/>
  <bookViews>
    <workbookView xWindow="-103" yWindow="-103" windowWidth="22149" windowHeight="13200" xr2:uid="{14C45EFF-297B-4CE6-A10C-974020A4B551}"/>
  </bookViews>
  <sheets>
    <sheet name="Продажі" sheetId="1" r:id="rId1"/>
    <sheet name="Звіт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2" l="1"/>
  <c r="B13" i="2"/>
  <c r="B14" i="2"/>
  <c r="B15" i="2"/>
  <c r="B6" i="2"/>
  <c r="B5" i="2"/>
  <c r="B4" i="2"/>
  <c r="B3" i="2"/>
  <c r="B2" i="2"/>
  <c r="J3" i="1"/>
  <c r="J4" i="1"/>
  <c r="J5" i="1"/>
  <c r="J6" i="1"/>
  <c r="J7" i="1"/>
  <c r="J8" i="1"/>
  <c r="J9" i="1"/>
  <c r="J10" i="1"/>
  <c r="J11" i="1"/>
  <c r="J12" i="1"/>
  <c r="J13" i="1"/>
  <c r="I3" i="1"/>
  <c r="I4" i="1"/>
  <c r="I5" i="1"/>
  <c r="I6" i="1"/>
  <c r="I7" i="1"/>
  <c r="I8" i="1"/>
  <c r="I9" i="1"/>
  <c r="I10" i="1"/>
  <c r="I11" i="1"/>
  <c r="I12" i="1"/>
  <c r="I13" i="1"/>
  <c r="I2" i="1"/>
  <c r="H3" i="1"/>
  <c r="H4" i="1"/>
  <c r="H5" i="1"/>
  <c r="H6" i="1"/>
  <c r="H7" i="1"/>
  <c r="H8" i="1"/>
  <c r="H9" i="1"/>
  <c r="H10" i="1"/>
  <c r="H11" i="1"/>
  <c r="H12" i="1"/>
  <c r="H13" i="1"/>
  <c r="H2" i="1"/>
  <c r="J2" i="1" s="1"/>
  <c r="B7" i="2" l="1"/>
  <c r="B11" i="2"/>
  <c r="B8" i="2"/>
</calcChain>
</file>

<file path=xl/sharedStrings.xml><?xml version="1.0" encoding="utf-8"?>
<sst xmlns="http://schemas.openxmlformats.org/spreadsheetml/2006/main" count="63" uniqueCount="39">
  <si>
    <t>№</t>
  </si>
  <si>
    <t>Дата</t>
  </si>
  <si>
    <t>Товар</t>
  </si>
  <si>
    <t>Категорія</t>
  </si>
  <si>
    <t>Кількість</t>
  </si>
  <si>
    <t>Виручка</t>
  </si>
  <si>
    <t>Ціна продажу</t>
  </si>
  <si>
    <t>Закупівельна ціна</t>
  </si>
  <si>
    <t>Витрати</t>
  </si>
  <si>
    <t>Прибуток</t>
  </si>
  <si>
    <t>Статус</t>
  </si>
  <si>
    <t>Миша Logitech M185</t>
  </si>
  <si>
    <t>Рюкзак Nike Brasilia</t>
  </si>
  <si>
    <t>Навушники JBL Tune 520BT</t>
  </si>
  <si>
    <t>Термокружка Contigo</t>
  </si>
  <si>
    <t>Клавіатура A4Tech</t>
  </si>
  <si>
    <t>Футбольний м'яч Adidas</t>
  </si>
  <si>
    <t>Настільна лампа Xiaomi</t>
  </si>
  <si>
    <t>Пляшка для води Nike</t>
  </si>
  <si>
    <t>Повербанк Baseus 20000 mAh</t>
  </si>
  <si>
    <t>Плед IKEA</t>
  </si>
  <si>
    <t>Сумка Puma Phase</t>
  </si>
  <si>
    <t>Фітнес-килимок Reebok</t>
  </si>
  <si>
    <t>Електроніка</t>
  </si>
  <si>
    <t>Аксесуари</t>
  </si>
  <si>
    <t>Посуд</t>
  </si>
  <si>
    <t>Спорт</t>
  </si>
  <si>
    <t>Дім</t>
  </si>
  <si>
    <t>Продано</t>
  </si>
  <si>
    <t>Повернення</t>
  </si>
  <si>
    <t>Показник</t>
  </si>
  <si>
    <t>Результат</t>
  </si>
  <si>
    <t>Прибуток від успішних продажів</t>
  </si>
  <si>
    <t>Загальна кількість операцій</t>
  </si>
  <si>
    <t>Кількість Успішних продажів</t>
  </si>
  <si>
    <t>Кількість повернень</t>
  </si>
  <si>
    <t>Виручка від успішних продажів</t>
  </si>
  <si>
    <t>Витрати на успішних продажів</t>
  </si>
  <si>
    <t>Середній прибуток з одного продажу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</si>
</sst>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_-* #,##0\ [$₴-422]_-;\-* #,##0\ [$₴-422]_-;_-* &quot;-&quot;\ [$₴-422]_-;_-@_-"/>
    <numFmt numFmtId="167" formatCode="#,##0\ [$₴-422];\-#,##0\ [$₴-422]"/>
    <numFmt numFmtId="168" formatCode="#,##0\ &quot;₴&quot;"/>
  </numFmts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7" fontId="0" fillId="0" borderId="1" xfId="0" applyNumberFormat="1" applyBorder="1"/>
    <xf numFmtId="168" fontId="0" fillId="0" borderId="1" xfId="0" applyNumberFormat="1" applyBorder="1"/>
    <xf numFmtId="168" fontId="1" fillId="0" borderId="1" xfId="0" applyNumberFormat="1" applyFont="1" applyBorder="1"/>
    <xf numFmtId="0" fontId="0" fillId="3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7D321-5EF5-4E50-84CC-9A8A0045C3C1}">
  <dimension ref="A1:K13"/>
  <sheetViews>
    <sheetView tabSelected="1" workbookViewId="0">
      <selection activeCell="C20" sqref="C20"/>
    </sheetView>
  </sheetViews>
  <sheetFormatPr defaultRowHeight="14.6" x14ac:dyDescent="0.4"/>
  <cols>
    <col min="2" max="2" width="11.69140625" customWidth="1"/>
    <col min="3" max="3" width="40.69140625" customWidth="1"/>
    <col min="4" max="4" width="20.69140625" customWidth="1"/>
    <col min="6" max="7" width="18.765625" customWidth="1"/>
    <col min="11" max="11" width="13.3828125" customWidth="1"/>
  </cols>
  <sheetData>
    <row r="1" spans="1:11" ht="15" thickBot="1" x14ac:dyDescent="0.45">
      <c r="A1" s="13" t="s">
        <v>0</v>
      </c>
      <c r="B1" s="13" t="s">
        <v>1</v>
      </c>
      <c r="C1" s="11" t="s">
        <v>2</v>
      </c>
      <c r="D1" s="11" t="s">
        <v>3</v>
      </c>
      <c r="E1" s="11" t="s">
        <v>4</v>
      </c>
      <c r="F1" s="11" t="s">
        <v>7</v>
      </c>
      <c r="G1" s="11" t="s">
        <v>6</v>
      </c>
      <c r="H1" s="11" t="s">
        <v>5</v>
      </c>
      <c r="I1" s="11" t="s">
        <v>8</v>
      </c>
      <c r="J1" s="11" t="s">
        <v>9</v>
      </c>
      <c r="K1" s="12" t="s">
        <v>10</v>
      </c>
    </row>
    <row r="2" spans="1:11" x14ac:dyDescent="0.4">
      <c r="A2" s="3">
        <v>1</v>
      </c>
      <c r="B2" s="5">
        <v>46296</v>
      </c>
      <c r="C2" s="4" t="s">
        <v>11</v>
      </c>
      <c r="D2" s="4" t="s">
        <v>23</v>
      </c>
      <c r="E2" s="4">
        <v>3</v>
      </c>
      <c r="F2" s="6">
        <v>420</v>
      </c>
      <c r="G2" s="6">
        <v>690</v>
      </c>
      <c r="H2" s="6">
        <f>E2*G2</f>
        <v>2070</v>
      </c>
      <c r="I2" s="6">
        <f>E2*F2</f>
        <v>1260</v>
      </c>
      <c r="J2" s="6">
        <f>H2-I2</f>
        <v>810</v>
      </c>
      <c r="K2" s="17" t="s">
        <v>28</v>
      </c>
    </row>
    <row r="3" spans="1:11" x14ac:dyDescent="0.4">
      <c r="A3" s="3">
        <v>2</v>
      </c>
      <c r="B3" s="5">
        <v>46297</v>
      </c>
      <c r="C3" s="3" t="s">
        <v>12</v>
      </c>
      <c r="D3" s="3" t="s">
        <v>24</v>
      </c>
      <c r="E3" s="3">
        <v>2</v>
      </c>
      <c r="F3" s="7">
        <v>850</v>
      </c>
      <c r="G3" s="7">
        <v>1350</v>
      </c>
      <c r="H3" s="6">
        <f t="shared" ref="H3:H13" si="0">E3*G3</f>
        <v>2700</v>
      </c>
      <c r="I3" s="6">
        <f t="shared" ref="I3:I13" si="1">E3*F3</f>
        <v>1700</v>
      </c>
      <c r="J3" s="6">
        <f t="shared" ref="J3:J13" si="2">H3-I3</f>
        <v>1000</v>
      </c>
      <c r="K3" s="17" t="s">
        <v>28</v>
      </c>
    </row>
    <row r="4" spans="1:11" x14ac:dyDescent="0.4">
      <c r="A4" s="3">
        <v>3</v>
      </c>
      <c r="B4" s="5">
        <v>46298</v>
      </c>
      <c r="C4" s="3" t="s">
        <v>13</v>
      </c>
      <c r="D4" s="3" t="s">
        <v>23</v>
      </c>
      <c r="E4" s="3">
        <v>2</v>
      </c>
      <c r="F4" s="7">
        <v>1150</v>
      </c>
      <c r="G4" s="7">
        <v>1790</v>
      </c>
      <c r="H4" s="6">
        <f t="shared" si="0"/>
        <v>3580</v>
      </c>
      <c r="I4" s="6">
        <f t="shared" si="1"/>
        <v>2300</v>
      </c>
      <c r="J4" s="6">
        <f t="shared" si="2"/>
        <v>1280</v>
      </c>
      <c r="K4" s="17" t="s">
        <v>28</v>
      </c>
    </row>
    <row r="5" spans="1:11" x14ac:dyDescent="0.4">
      <c r="A5" s="3">
        <v>4</v>
      </c>
      <c r="B5" s="5">
        <v>46299</v>
      </c>
      <c r="C5" s="3" t="s">
        <v>14</v>
      </c>
      <c r="D5" s="3" t="s">
        <v>25</v>
      </c>
      <c r="E5" s="3">
        <v>4</v>
      </c>
      <c r="F5" s="7">
        <v>510</v>
      </c>
      <c r="G5" s="7">
        <v>790</v>
      </c>
      <c r="H5" s="6">
        <f t="shared" si="0"/>
        <v>3160</v>
      </c>
      <c r="I5" s="6">
        <f t="shared" si="1"/>
        <v>2040</v>
      </c>
      <c r="J5" s="6">
        <f t="shared" si="2"/>
        <v>1120</v>
      </c>
      <c r="K5" s="18" t="s">
        <v>29</v>
      </c>
    </row>
    <row r="6" spans="1:11" x14ac:dyDescent="0.4">
      <c r="A6" s="3">
        <v>5</v>
      </c>
      <c r="B6" s="5">
        <v>46300</v>
      </c>
      <c r="C6" s="3" t="s">
        <v>15</v>
      </c>
      <c r="D6" s="3" t="s">
        <v>23</v>
      </c>
      <c r="E6" s="3">
        <v>5</v>
      </c>
      <c r="F6" s="7">
        <v>380</v>
      </c>
      <c r="G6" s="7">
        <v>620</v>
      </c>
      <c r="H6" s="6">
        <f t="shared" si="0"/>
        <v>3100</v>
      </c>
      <c r="I6" s="6">
        <f t="shared" si="1"/>
        <v>1900</v>
      </c>
      <c r="J6" s="6">
        <f t="shared" si="2"/>
        <v>1200</v>
      </c>
      <c r="K6" s="17" t="s">
        <v>28</v>
      </c>
    </row>
    <row r="7" spans="1:11" x14ac:dyDescent="0.4">
      <c r="A7" s="3">
        <v>6</v>
      </c>
      <c r="B7" s="5">
        <v>46301</v>
      </c>
      <c r="C7" s="3" t="s">
        <v>16</v>
      </c>
      <c r="D7" s="3" t="s">
        <v>26</v>
      </c>
      <c r="E7" s="3">
        <v>3</v>
      </c>
      <c r="F7" s="7">
        <v>570</v>
      </c>
      <c r="G7" s="7">
        <v>950</v>
      </c>
      <c r="H7" s="6">
        <f t="shared" si="0"/>
        <v>2850</v>
      </c>
      <c r="I7" s="6">
        <f t="shared" si="1"/>
        <v>1710</v>
      </c>
      <c r="J7" s="6">
        <f t="shared" si="2"/>
        <v>1140</v>
      </c>
      <c r="K7" s="17" t="s">
        <v>28</v>
      </c>
    </row>
    <row r="8" spans="1:11" x14ac:dyDescent="0.4">
      <c r="A8" s="3">
        <v>7</v>
      </c>
      <c r="B8" s="5">
        <v>46302</v>
      </c>
      <c r="C8" s="3" t="s">
        <v>17</v>
      </c>
      <c r="D8" s="3" t="s">
        <v>27</v>
      </c>
      <c r="E8" s="3">
        <v>2</v>
      </c>
      <c r="F8" s="7">
        <v>1190</v>
      </c>
      <c r="G8" s="7">
        <v>1890</v>
      </c>
      <c r="H8" s="6">
        <f t="shared" si="0"/>
        <v>3780</v>
      </c>
      <c r="I8" s="6">
        <f t="shared" si="1"/>
        <v>2380</v>
      </c>
      <c r="J8" s="6">
        <f t="shared" si="2"/>
        <v>1400</v>
      </c>
      <c r="K8" s="17" t="s">
        <v>28</v>
      </c>
    </row>
    <row r="9" spans="1:11" x14ac:dyDescent="0.4">
      <c r="A9" s="3">
        <v>8</v>
      </c>
      <c r="B9" s="5">
        <v>46303</v>
      </c>
      <c r="C9" s="3" t="s">
        <v>18</v>
      </c>
      <c r="D9" s="3" t="s">
        <v>26</v>
      </c>
      <c r="E9" s="3">
        <v>6</v>
      </c>
      <c r="F9" s="7">
        <v>260</v>
      </c>
      <c r="G9" s="7">
        <v>490</v>
      </c>
      <c r="H9" s="6">
        <f t="shared" si="0"/>
        <v>2940</v>
      </c>
      <c r="I9" s="6">
        <f t="shared" si="1"/>
        <v>1560</v>
      </c>
      <c r="J9" s="6">
        <f t="shared" si="2"/>
        <v>1380</v>
      </c>
      <c r="K9" s="17" t="s">
        <v>28</v>
      </c>
    </row>
    <row r="10" spans="1:11" x14ac:dyDescent="0.4">
      <c r="A10" s="3">
        <v>9</v>
      </c>
      <c r="B10" s="5">
        <v>46304</v>
      </c>
      <c r="C10" s="3" t="s">
        <v>19</v>
      </c>
      <c r="D10" s="3" t="s">
        <v>23</v>
      </c>
      <c r="E10" s="3">
        <v>3</v>
      </c>
      <c r="F10" s="7">
        <v>890</v>
      </c>
      <c r="G10" s="7">
        <v>1450</v>
      </c>
      <c r="H10" s="6">
        <f t="shared" si="0"/>
        <v>4350</v>
      </c>
      <c r="I10" s="6">
        <f t="shared" si="1"/>
        <v>2670</v>
      </c>
      <c r="J10" s="6">
        <f t="shared" si="2"/>
        <v>1680</v>
      </c>
      <c r="K10" s="18" t="s">
        <v>29</v>
      </c>
    </row>
    <row r="11" spans="1:11" x14ac:dyDescent="0.4">
      <c r="A11" s="3">
        <v>10</v>
      </c>
      <c r="B11" s="5">
        <v>46305</v>
      </c>
      <c r="C11" s="3" t="s">
        <v>20</v>
      </c>
      <c r="D11" s="3" t="s">
        <v>27</v>
      </c>
      <c r="E11" s="3">
        <v>4</v>
      </c>
      <c r="F11" s="7">
        <v>470</v>
      </c>
      <c r="G11" s="7">
        <v>790</v>
      </c>
      <c r="H11" s="6">
        <f t="shared" si="0"/>
        <v>3160</v>
      </c>
      <c r="I11" s="6">
        <f t="shared" si="1"/>
        <v>1880</v>
      </c>
      <c r="J11" s="6">
        <f t="shared" si="2"/>
        <v>1280</v>
      </c>
      <c r="K11" s="17" t="s">
        <v>28</v>
      </c>
    </row>
    <row r="12" spans="1:11" x14ac:dyDescent="0.4">
      <c r="A12" s="2">
        <v>11</v>
      </c>
      <c r="B12" s="5">
        <v>46306</v>
      </c>
      <c r="C12" s="2" t="s">
        <v>21</v>
      </c>
      <c r="D12" s="2" t="s">
        <v>24</v>
      </c>
      <c r="E12" s="2">
        <v>2</v>
      </c>
      <c r="F12" s="8">
        <v>630</v>
      </c>
      <c r="G12" s="8">
        <v>1090</v>
      </c>
      <c r="H12" s="6">
        <f t="shared" si="0"/>
        <v>2180</v>
      </c>
      <c r="I12" s="6">
        <f t="shared" si="1"/>
        <v>1260</v>
      </c>
      <c r="J12" s="6">
        <f t="shared" si="2"/>
        <v>920</v>
      </c>
      <c r="K12" s="17" t="s">
        <v>28</v>
      </c>
    </row>
    <row r="13" spans="1:11" x14ac:dyDescent="0.4">
      <c r="A13" s="2">
        <v>12</v>
      </c>
      <c r="B13" s="5">
        <v>46307</v>
      </c>
      <c r="C13" s="2" t="s">
        <v>22</v>
      </c>
      <c r="D13" s="2" t="s">
        <v>26</v>
      </c>
      <c r="E13" s="2">
        <v>3</v>
      </c>
      <c r="F13" s="8">
        <v>680</v>
      </c>
      <c r="G13" s="8">
        <v>1150</v>
      </c>
      <c r="H13" s="6">
        <f t="shared" si="0"/>
        <v>3450</v>
      </c>
      <c r="I13" s="6">
        <f t="shared" si="1"/>
        <v>2040</v>
      </c>
      <c r="J13" s="6">
        <f t="shared" si="2"/>
        <v>1410</v>
      </c>
      <c r="K13" s="17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7922-80DD-41C4-A26C-28E2ABD8D3F8}">
  <dimension ref="A1:B15"/>
  <sheetViews>
    <sheetView workbookViewId="0">
      <selection activeCell="D14" sqref="D14"/>
    </sheetView>
  </sheetViews>
  <sheetFormatPr defaultRowHeight="14.6" x14ac:dyDescent="0.4"/>
  <cols>
    <col min="1" max="1" width="35.69140625" customWidth="1"/>
    <col min="2" max="2" width="28.23046875" bestFit="1" customWidth="1"/>
  </cols>
  <sheetData>
    <row r="1" spans="1:2" x14ac:dyDescent="0.4">
      <c r="A1" s="10" t="s">
        <v>30</v>
      </c>
      <c r="B1" s="10" t="s">
        <v>31</v>
      </c>
    </row>
    <row r="2" spans="1:2" x14ac:dyDescent="0.4">
      <c r="A2" s="1" t="s">
        <v>33</v>
      </c>
      <c r="B2" s="1">
        <f>COUNTA(Продажі!A2:A13)</f>
        <v>12</v>
      </c>
    </row>
    <row r="3" spans="1:2" x14ac:dyDescent="0.4">
      <c r="A3" s="1" t="s">
        <v>34</v>
      </c>
      <c r="B3" s="1">
        <f>COUNTIF(Продажі!K2:K13,"Продано")</f>
        <v>10</v>
      </c>
    </row>
    <row r="4" spans="1:2" x14ac:dyDescent="0.4">
      <c r="A4" s="1" t="s">
        <v>35</v>
      </c>
      <c r="B4" s="1">
        <f>COUNTIF(Продажі!K2:K13,"Повернення")</f>
        <v>2</v>
      </c>
    </row>
    <row r="5" spans="1:2" x14ac:dyDescent="0.4">
      <c r="A5" s="1" t="s">
        <v>36</v>
      </c>
      <c r="B5" s="14">
        <f>SUMIF(Продажі!K2:K13,"Продано",Продажі!H2:H13)</f>
        <v>29810</v>
      </c>
    </row>
    <row r="6" spans="1:2" x14ac:dyDescent="0.4">
      <c r="A6" s="1" t="s">
        <v>37</v>
      </c>
      <c r="B6" s="14">
        <f>SUMIF(Продажі!K2:K13,"Продано",Продажі!I2:I13)</f>
        <v>17990</v>
      </c>
    </row>
    <row r="7" spans="1:2" x14ac:dyDescent="0.4">
      <c r="A7" s="1" t="s">
        <v>32</v>
      </c>
      <c r="B7" s="14">
        <f>SUMIF(Продажі!K2:K13,"Продано",Продажі!J2:J13)</f>
        <v>11820</v>
      </c>
    </row>
    <row r="8" spans="1:2" x14ac:dyDescent="0.4">
      <c r="A8" s="1" t="s">
        <v>38</v>
      </c>
      <c r="B8" s="14">
        <f>AVERAGEIF(Продажі!K2:K13,"Продано",Продажі!J2:J13)</f>
        <v>1182</v>
      </c>
    </row>
    <row r="10" spans="1:2" x14ac:dyDescent="0.4">
      <c r="A10" s="1" t="s">
        <v>3</v>
      </c>
      <c r="B10" s="9" t="s">
        <v>32</v>
      </c>
    </row>
    <row r="11" spans="1:2" x14ac:dyDescent="0.4">
      <c r="A11" s="1" t="s">
        <v>23</v>
      </c>
      <c r="B11" s="15">
        <f>SUMIFS(Продажі!$J$2:$J$13,Продажі!$D$2:$D$13,A11,Продажі!$K$2:$K$13,"Продано")</f>
        <v>3290</v>
      </c>
    </row>
    <row r="12" spans="1:2" x14ac:dyDescent="0.4">
      <c r="A12" s="1" t="s">
        <v>24</v>
      </c>
      <c r="B12" s="15">
        <f>SUMIFS(Продажі!$J$2:$J$13,Продажі!$D$2:$D$13,A12,Продажі!$K$2:$K$13,"Продано")</f>
        <v>1920</v>
      </c>
    </row>
    <row r="13" spans="1:2" x14ac:dyDescent="0.4">
      <c r="A13" s="1" t="s">
        <v>25</v>
      </c>
      <c r="B13" s="15">
        <f>SUMIFS(Продажі!$J$2:$J$13,Продажі!$D$2:$D$13,A13,Продажі!$K$2:$K$13,"Продано")</f>
        <v>0</v>
      </c>
    </row>
    <row r="14" spans="1:2" x14ac:dyDescent="0.4">
      <c r="A14" s="10" t="s">
        <v>26</v>
      </c>
      <c r="B14" s="16">
        <f>SUMIFS(Продажі!$J$2:$J$13,Продажі!$D$2:$D$13,A14,Продажі!$K$2:$K$13,"Продано")</f>
        <v>3930</v>
      </c>
    </row>
    <row r="15" spans="1:2" x14ac:dyDescent="0.4">
      <c r="A15" s="1" t="s">
        <v>27</v>
      </c>
      <c r="B15" s="15">
        <f>SUMIFS(Продажі!$J$2:$J$13,Продажі!$D$2:$D$13,A15,Продажі!$K$2:$K$13,"Продано")</f>
        <v>2680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Продажі</vt:lpstr>
      <vt:lpstr>Звіт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Андрій Орловський</dc:creator>
  <cp:lastModifiedBy>Андрій Орловський</cp:lastModifiedBy>
  <dcterms:created xsi:type="dcterms:W3CDTF">2026-10-11T05:13:42Z</dcterms:created>
  <dcterms:modified xsi:type="dcterms:W3CDTF">2026-10-11T06:15:14Z</dcterms:modified>
</cp:coreProperties>
</file>